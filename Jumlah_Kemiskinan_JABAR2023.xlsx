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285239ED-F633-4B67-90DA-2522988DCEB9}" xr6:coauthVersionLast="47" xr6:coauthVersionMax="47" xr10:uidLastSave="{00000000-0000-0000-0000-000000000000}"/>
  <bookViews>
    <workbookView xWindow="-110" yWindow="-110" windowWidth="19420" windowHeight="10300" xr2:uid="{4946E417-47A4-424F-8B2F-EA40C6506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D36" i="1"/>
  <c r="D37" i="1"/>
  <c r="F4" i="1"/>
  <c r="E4" i="1"/>
  <c r="D4" i="1"/>
  <c r="D35" i="1" l="1"/>
  <c r="D3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 l="1"/>
  <c r="G4" i="1" s="1"/>
  <c r="D31" i="1"/>
  <c r="F30" i="1"/>
  <c r="G30" i="1" s="1"/>
  <c r="E30" i="1"/>
  <c r="F29" i="1"/>
  <c r="G29" i="1" s="1"/>
  <c r="E29" i="1"/>
  <c r="F28" i="1"/>
  <c r="G28" i="1" s="1"/>
  <c r="E28" i="1"/>
  <c r="F27" i="1"/>
  <c r="G27" i="1" s="1"/>
  <c r="E27" i="1"/>
  <c r="F26" i="1"/>
  <c r="G26" i="1" s="1"/>
  <c r="E26" i="1"/>
  <c r="F25" i="1"/>
  <c r="G25" i="1" s="1"/>
  <c r="E25" i="1"/>
  <c r="F24" i="1"/>
  <c r="G24" i="1" s="1"/>
  <c r="E24" i="1"/>
  <c r="F23" i="1"/>
  <c r="G23" i="1" s="1"/>
  <c r="E23" i="1"/>
  <c r="F22" i="1"/>
  <c r="G22" i="1" s="1"/>
  <c r="E22" i="1"/>
  <c r="F21" i="1"/>
  <c r="G21" i="1" s="1"/>
  <c r="E21" i="1"/>
  <c r="F20" i="1"/>
  <c r="G20" i="1" s="1"/>
  <c r="E20" i="1"/>
  <c r="F19" i="1"/>
  <c r="G19" i="1" s="1"/>
  <c r="E19" i="1"/>
  <c r="F18" i="1"/>
  <c r="G18" i="1" s="1"/>
  <c r="E18" i="1"/>
  <c r="F17" i="1"/>
  <c r="G17" i="1" s="1"/>
  <c r="E17" i="1"/>
  <c r="F16" i="1"/>
  <c r="G16" i="1" s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F11" i="1"/>
  <c r="G11" i="1" s="1"/>
  <c r="E11" i="1"/>
  <c r="F10" i="1"/>
  <c r="G10" i="1" s="1"/>
  <c r="E10" i="1"/>
  <c r="F9" i="1"/>
  <c r="G9" i="1" s="1"/>
  <c r="E9" i="1"/>
  <c r="F8" i="1"/>
  <c r="G8" i="1" s="1"/>
  <c r="E8" i="1"/>
  <c r="F7" i="1"/>
  <c r="G7" i="1" s="1"/>
  <c r="E7" i="1"/>
  <c r="F6" i="1"/>
  <c r="G6" i="1" s="1"/>
  <c r="E6" i="1"/>
  <c r="F5" i="1"/>
  <c r="G5" i="1" s="1"/>
  <c r="E5" i="1"/>
</calcChain>
</file>

<file path=xl/sharedStrings.xml><?xml version="1.0" encoding="utf-8"?>
<sst xmlns="http://schemas.openxmlformats.org/spreadsheetml/2006/main" count="42" uniqueCount="35">
  <si>
    <t>Proporsi</t>
  </si>
  <si>
    <t>xi-xbar</t>
  </si>
  <si>
    <t>(xi-xbar)^2</t>
  </si>
  <si>
    <t>Jumlah Kemiskinan di Jawa Barat Tahun 2023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</si>
  <si>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</si>
  <si>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</si>
  <si>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</si>
  <si>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</si>
  <si>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</si>
  <si>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</si>
  <si>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</si>
  <si>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</si>
  <si>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</si>
  <si>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</si>
  <si>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</si>
  <si>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</si>
  <si>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</si>
  <si>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</si>
  <si>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</si>
  <si>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</si>
  <si>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</si>
  <si>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</si>
  <si>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Depok</t>
  </si>
  <si>
    <t>Cimahi</t>
  </si>
  <si>
    <t>Banjar</t>
  </si>
  <si>
    <t>Total</t>
  </si>
  <si>
    <t>Rata-rata</t>
  </si>
  <si>
    <t>Total Proporsi</t>
  </si>
  <si>
    <t>Total S^2</t>
  </si>
  <si>
    <t>S^2</t>
  </si>
  <si>
    <t>q</t>
  </si>
  <si>
    <t>Kabupaten/
Kota</t>
  </si>
  <si>
    <t>Jumlah
 Penduduk (Jiwa)</t>
  </si>
  <si>
    <t>Persentase 
Kemiskinan</t>
  </si>
  <si>
    <t>Kemiskinan 
(Ribuan)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</si>
</sst>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2" fontId="2" fillId="0" borderId="0" xfId="0" applyNumberFormat="1" applyFont="1"/>
    <xf numFmtId="43" fontId="2" fillId="0" borderId="0" xfId="1" applyFont="1"/>
    <xf numFmtId="43" fontId="2" fillId="0" borderId="0" xfId="0" applyNumberFormat="1" applyFont="1"/>
    <xf numFmtId="0" fontId="3" fillId="0" borderId="1" xfId="0" applyFont="1" applyBorder="1"/>
    <xf numFmtId="43" fontId="3" fillId="0" borderId="1" xfId="1" applyFont="1" applyBorder="1"/>
    <xf numFmtId="43" fontId="3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6039-2096-4C07-963A-5FCBDA432C3C}">
  <dimension ref="A1:G37"/>
  <sheetViews>
    <sheetView tabSelected="1" topLeftCell="A27" workbookViewId="0">
      <selection activeCell="D35" sqref="D35"/>
    </sheetView>
  </sheetViews>
  <sheetFormatPr defaultRowHeight="15.5" x14ac:dyDescent="0.35"/>
  <cols>
    <col min="1" max="1" width="12.81640625" style="4" customWidth="1"/>
    <col min="2" max="2" width="18.26953125" style="4" customWidth="1"/>
    <col min="3" max="3" width="13.1796875" style="4" customWidth="1"/>
    <col min="4" max="4" width="12.6328125" style="4" customWidth="1"/>
    <col min="5" max="5" width="10.26953125" style="4" customWidth="1"/>
    <col min="6" max="6" width="9.90625" style="4" customWidth="1"/>
    <col min="7" max="7" width="11.453125" style="4" bestFit="1" customWidth="1"/>
    <col min="8" max="16384" width="8.7265625" style="4"/>
  </cols>
  <sheetData>
    <row r="1" spans="1:7" x14ac:dyDescent="0.35">
      <c r="A1" s="1" t="s">
        <v>3</v>
      </c>
      <c r="B1" s="2"/>
      <c r="C1" s="3"/>
    </row>
    <row r="2" spans="1:7" x14ac:dyDescent="0.35">
      <c r="B2" s="2"/>
      <c r="C2" s="3"/>
    </row>
    <row r="3" spans="1:7" ht="30" x14ac:dyDescent="0.35">
      <c r="A3" s="11" t="s">
        <v>31</v>
      </c>
      <c r="B3" s="12" t="s">
        <v>32</v>
      </c>
      <c r="C3" s="13" t="s">
        <v>33</v>
      </c>
      <c r="D3" s="14" t="s">
        <v>34</v>
      </c>
      <c r="E3" s="15" t="s">
        <v>0</v>
      </c>
      <c r="F3" s="16" t="s">
        <v>1</v>
      </c>
      <c r="G3" s="16" t="s">
        <v>2</v>
      </c>
    </row>
    <row r="4" spans="1:7" x14ac:dyDescent="0.35">
      <c r="A4" s="8" t="s">
        <v>4</v>
      </c>
      <c r="B4" s="8">
        <v>453.76</v>
      </c>
      <c r="C4" s="8">
        <v>7.27</v>
      </c>
      <c r="D4" s="9">
        <f>C4*B4/100</f>
        <v>32.988351999999992</v>
      </c>
      <c r="E4" s="10">
        <f>D4/B4</f>
        <v>7.2699999999999987E-2</v>
      </c>
      <c r="F4" s="9">
        <f>D4-$D$32</f>
        <v>20.643468111111105</v>
      </c>
      <c r="G4" s="10">
        <f>F4^2</f>
        <v>426.1527756544611</v>
      </c>
    </row>
    <row r="5" spans="1:7" x14ac:dyDescent="0.35">
      <c r="A5" s="8" t="s">
        <v>5</v>
      </c>
      <c r="B5" s="8">
        <v>178.71</v>
      </c>
      <c r="C5" s="8">
        <v>7.01</v>
      </c>
      <c r="D5" s="9">
        <f t="shared" ref="D5:D30" si="0">C5*B5/100</f>
        <v>12.527571</v>
      </c>
      <c r="E5" s="10">
        <f t="shared" ref="E5:E30" si="1">D5/B5</f>
        <v>7.0099999999999996E-2</v>
      </c>
      <c r="F5" s="9">
        <f t="shared" ref="F5:F30" si="2">D5-$D$32</f>
        <v>0.18268711111111102</v>
      </c>
      <c r="G5" s="10">
        <f t="shared" ref="G5:G30" si="3">F5^2</f>
        <v>3.3374580566123427E-2</v>
      </c>
    </row>
    <row r="6" spans="1:7" x14ac:dyDescent="0.35">
      <c r="A6" s="8" t="s">
        <v>6</v>
      </c>
      <c r="B6" s="8">
        <v>240.06</v>
      </c>
      <c r="C6" s="8">
        <v>10.220000000000001</v>
      </c>
      <c r="D6" s="9">
        <f t="shared" si="0"/>
        <v>24.534132</v>
      </c>
      <c r="E6" s="10">
        <f t="shared" si="1"/>
        <v>0.1022</v>
      </c>
      <c r="F6" s="9">
        <f t="shared" si="2"/>
        <v>12.189248111111111</v>
      </c>
      <c r="G6" s="10">
        <f t="shared" si="3"/>
        <v>148.57776951422576</v>
      </c>
    </row>
    <row r="7" spans="1:7" x14ac:dyDescent="0.35">
      <c r="A7" s="8" t="s">
        <v>7</v>
      </c>
      <c r="B7" s="8">
        <v>245.49</v>
      </c>
      <c r="C7" s="8">
        <v>6.4</v>
      </c>
      <c r="D7" s="9">
        <f t="shared" si="0"/>
        <v>15.711360000000003</v>
      </c>
      <c r="E7" s="10">
        <f t="shared" si="1"/>
        <v>6.4000000000000015E-2</v>
      </c>
      <c r="F7" s="9">
        <f t="shared" si="2"/>
        <v>3.3664761111111137</v>
      </c>
      <c r="G7" s="10">
        <f t="shared" si="3"/>
        <v>11.333161406681807</v>
      </c>
    </row>
    <row r="8" spans="1:7" x14ac:dyDescent="0.35">
      <c r="A8" s="8" t="s">
        <v>8</v>
      </c>
      <c r="B8" s="8">
        <v>260.48</v>
      </c>
      <c r="C8" s="8">
        <v>9.77</v>
      </c>
      <c r="D8" s="9">
        <f t="shared" si="0"/>
        <v>25.448896000000001</v>
      </c>
      <c r="E8" s="10">
        <f t="shared" si="1"/>
        <v>9.7699999999999995E-2</v>
      </c>
      <c r="F8" s="9">
        <f t="shared" si="2"/>
        <v>13.104012111111112</v>
      </c>
      <c r="G8" s="10">
        <f t="shared" si="3"/>
        <v>171.7151334081467</v>
      </c>
    </row>
    <row r="9" spans="1:7" x14ac:dyDescent="0.35">
      <c r="A9" s="8" t="s">
        <v>9</v>
      </c>
      <c r="B9" s="8">
        <v>186.87</v>
      </c>
      <c r="C9" s="8">
        <v>10.28</v>
      </c>
      <c r="D9" s="9">
        <f t="shared" si="0"/>
        <v>19.210235999999998</v>
      </c>
      <c r="E9" s="10">
        <f t="shared" si="1"/>
        <v>0.10279999999999999</v>
      </c>
      <c r="F9" s="9">
        <f t="shared" si="2"/>
        <v>6.8653521111111093</v>
      </c>
      <c r="G9" s="10">
        <f t="shared" si="3"/>
        <v>47.133059609537767</v>
      </c>
    </row>
    <row r="10" spans="1:7" x14ac:dyDescent="0.35">
      <c r="A10" s="8" t="s">
        <v>10</v>
      </c>
      <c r="B10" s="8">
        <v>90.84</v>
      </c>
      <c r="C10" s="8">
        <v>7.42</v>
      </c>
      <c r="D10" s="9">
        <f t="shared" si="0"/>
        <v>6.7403280000000008</v>
      </c>
      <c r="E10" s="10">
        <f t="shared" si="1"/>
        <v>7.4200000000000002E-2</v>
      </c>
      <c r="F10" s="9">
        <f t="shared" si="2"/>
        <v>-5.6045558888888882</v>
      </c>
      <c r="G10" s="10">
        <f t="shared" si="3"/>
        <v>31.411046711679116</v>
      </c>
    </row>
    <row r="11" spans="1:7" x14ac:dyDescent="0.35">
      <c r="A11" s="8" t="s">
        <v>11</v>
      </c>
      <c r="B11" s="8">
        <v>133.88</v>
      </c>
      <c r="C11" s="8">
        <v>12.12</v>
      </c>
      <c r="D11" s="9">
        <f t="shared" si="0"/>
        <v>16.226255999999999</v>
      </c>
      <c r="E11" s="10">
        <f t="shared" si="1"/>
        <v>0.1212</v>
      </c>
      <c r="F11" s="9">
        <f t="shared" si="2"/>
        <v>3.8813721111111104</v>
      </c>
      <c r="G11" s="10">
        <f t="shared" si="3"/>
        <v>15.065049464911118</v>
      </c>
    </row>
    <row r="12" spans="1:7" x14ac:dyDescent="0.35">
      <c r="A12" s="8" t="s">
        <v>12</v>
      </c>
      <c r="B12" s="8">
        <v>249.18</v>
      </c>
      <c r="C12" s="8">
        <v>11.2</v>
      </c>
      <c r="D12" s="9">
        <f t="shared" si="0"/>
        <v>27.908159999999999</v>
      </c>
      <c r="E12" s="10">
        <f t="shared" si="1"/>
        <v>0.11199999999999999</v>
      </c>
      <c r="F12" s="9">
        <f t="shared" si="2"/>
        <v>15.56327611111111</v>
      </c>
      <c r="G12" s="10">
        <f t="shared" si="3"/>
        <v>242.21556331068174</v>
      </c>
    </row>
    <row r="13" spans="1:7" x14ac:dyDescent="0.35">
      <c r="A13" s="8" t="s">
        <v>13</v>
      </c>
      <c r="B13" s="8">
        <v>138.74</v>
      </c>
      <c r="C13" s="8">
        <v>11.21</v>
      </c>
      <c r="D13" s="9">
        <f t="shared" si="0"/>
        <v>15.552754000000002</v>
      </c>
      <c r="E13" s="10">
        <f t="shared" si="1"/>
        <v>0.11210000000000001</v>
      </c>
      <c r="F13" s="9">
        <f t="shared" si="2"/>
        <v>3.207870111111113</v>
      </c>
      <c r="G13" s="10">
        <f t="shared" si="3"/>
        <v>10.290430649760024</v>
      </c>
    </row>
    <row r="14" spans="1:7" x14ac:dyDescent="0.35">
      <c r="A14" s="8" t="s">
        <v>14</v>
      </c>
      <c r="B14" s="8">
        <v>111.39</v>
      </c>
      <c r="C14" s="8">
        <v>9.36</v>
      </c>
      <c r="D14" s="9">
        <f t="shared" si="0"/>
        <v>10.426104</v>
      </c>
      <c r="E14" s="10">
        <f t="shared" si="1"/>
        <v>9.3600000000000003E-2</v>
      </c>
      <c r="F14" s="9">
        <f t="shared" si="2"/>
        <v>-1.9187798888888885</v>
      </c>
      <c r="G14" s="10">
        <f t="shared" si="3"/>
        <v>3.6817162620044552</v>
      </c>
    </row>
    <row r="15" spans="1:7" x14ac:dyDescent="0.35">
      <c r="A15" s="8" t="s">
        <v>15</v>
      </c>
      <c r="B15" s="8">
        <v>214.74</v>
      </c>
      <c r="C15" s="8">
        <v>12.13</v>
      </c>
      <c r="D15" s="9">
        <f t="shared" si="0"/>
        <v>26.047962000000002</v>
      </c>
      <c r="E15" s="10">
        <f t="shared" si="1"/>
        <v>0.12130000000000001</v>
      </c>
      <c r="F15" s="9">
        <f t="shared" si="2"/>
        <v>13.703078111111113</v>
      </c>
      <c r="G15" s="10">
        <f t="shared" si="3"/>
        <v>187.77434971921249</v>
      </c>
    </row>
    <row r="16" spans="1:7" x14ac:dyDescent="0.35">
      <c r="A16" s="8" t="s">
        <v>16</v>
      </c>
      <c r="B16" s="8">
        <v>152.33000000000001</v>
      </c>
      <c r="C16" s="8">
        <v>9.52</v>
      </c>
      <c r="D16" s="9">
        <f t="shared" si="0"/>
        <v>14.501816000000002</v>
      </c>
      <c r="E16" s="10">
        <f t="shared" si="1"/>
        <v>9.5200000000000007E-2</v>
      </c>
      <c r="F16" s="9">
        <f t="shared" si="2"/>
        <v>2.1569321111111126</v>
      </c>
      <c r="G16" s="10">
        <f t="shared" si="3"/>
        <v>4.6523561319422413</v>
      </c>
    </row>
    <row r="17" spans="1:7" x14ac:dyDescent="0.35">
      <c r="A17" s="8" t="s">
        <v>17</v>
      </c>
      <c r="B17" s="8">
        <v>81.540000000000006</v>
      </c>
      <c r="C17" s="8">
        <v>8.4600000000000009</v>
      </c>
      <c r="D17" s="9">
        <f t="shared" si="0"/>
        <v>6.8982840000000012</v>
      </c>
      <c r="E17" s="10">
        <f t="shared" si="1"/>
        <v>8.4600000000000009E-2</v>
      </c>
      <c r="F17" s="9">
        <f t="shared" si="2"/>
        <v>-5.4465998888888878</v>
      </c>
      <c r="G17" s="10">
        <f t="shared" si="3"/>
        <v>29.665450349644445</v>
      </c>
    </row>
    <row r="18" spans="1:7" x14ac:dyDescent="0.35">
      <c r="A18" s="8" t="s">
        <v>18</v>
      </c>
      <c r="B18" s="8">
        <v>187.23</v>
      </c>
      <c r="C18" s="8">
        <v>7.87</v>
      </c>
      <c r="D18" s="9">
        <f t="shared" si="0"/>
        <v>14.735001</v>
      </c>
      <c r="E18" s="10">
        <f t="shared" si="1"/>
        <v>7.8700000000000006E-2</v>
      </c>
      <c r="F18" s="9">
        <f t="shared" si="2"/>
        <v>2.3901171111111115</v>
      </c>
      <c r="G18" s="10">
        <f t="shared" si="3"/>
        <v>5.7126598048261252</v>
      </c>
    </row>
    <row r="19" spans="1:7" x14ac:dyDescent="0.35">
      <c r="A19" s="8" t="s">
        <v>19</v>
      </c>
      <c r="B19" s="8">
        <v>204.09</v>
      </c>
      <c r="C19" s="8">
        <v>4.93</v>
      </c>
      <c r="D19" s="9">
        <f t="shared" si="0"/>
        <v>10.061636999999999</v>
      </c>
      <c r="E19" s="10">
        <f t="shared" si="1"/>
        <v>4.9299999999999997E-2</v>
      </c>
      <c r="F19" s="9">
        <f t="shared" si="2"/>
        <v>-2.2832468888888897</v>
      </c>
      <c r="G19" s="10">
        <f t="shared" si="3"/>
        <v>5.2132163556207942</v>
      </c>
    </row>
    <row r="20" spans="1:7" x14ac:dyDescent="0.35">
      <c r="A20" s="8" t="s">
        <v>20</v>
      </c>
      <c r="B20" s="8">
        <v>179.43</v>
      </c>
      <c r="C20" s="8">
        <v>10.52</v>
      </c>
      <c r="D20" s="9">
        <f t="shared" si="0"/>
        <v>18.876035999999999</v>
      </c>
      <c r="E20" s="10">
        <f t="shared" si="1"/>
        <v>0.10519999999999999</v>
      </c>
      <c r="F20" s="9">
        <f t="shared" si="2"/>
        <v>6.5311521111111102</v>
      </c>
      <c r="G20" s="10">
        <f t="shared" si="3"/>
        <v>42.655947898471112</v>
      </c>
    </row>
    <row r="21" spans="1:7" x14ac:dyDescent="0.35">
      <c r="A21" s="8" t="s">
        <v>21</v>
      </c>
      <c r="B21" s="8">
        <v>36.700000000000003</v>
      </c>
      <c r="C21" s="8">
        <v>8.98</v>
      </c>
      <c r="D21" s="9">
        <f t="shared" si="0"/>
        <v>3.2956600000000003</v>
      </c>
      <c r="E21" s="10">
        <f t="shared" si="1"/>
        <v>8.9800000000000005E-2</v>
      </c>
      <c r="F21" s="9">
        <f t="shared" si="2"/>
        <v>-9.0492238888888892</v>
      </c>
      <c r="G21" s="10">
        <f t="shared" si="3"/>
        <v>81.888452991237358</v>
      </c>
    </row>
    <row r="22" spans="1:7" x14ac:dyDescent="0.35">
      <c r="A22" s="8" t="s">
        <v>4</v>
      </c>
      <c r="B22" s="8">
        <v>74.95</v>
      </c>
      <c r="C22" s="8">
        <v>6.67</v>
      </c>
      <c r="D22" s="9">
        <f t="shared" si="0"/>
        <v>4.9991650000000005</v>
      </c>
      <c r="E22" s="10">
        <f t="shared" si="1"/>
        <v>6.6700000000000009E-2</v>
      </c>
      <c r="F22" s="9">
        <f t="shared" si="2"/>
        <v>-7.3457188888888885</v>
      </c>
      <c r="G22" s="10">
        <f t="shared" si="3"/>
        <v>53.959585994579008</v>
      </c>
    </row>
    <row r="23" spans="1:7" x14ac:dyDescent="0.35">
      <c r="A23" s="8" t="s">
        <v>5</v>
      </c>
      <c r="B23" s="8">
        <v>24.96</v>
      </c>
      <c r="C23" s="8">
        <v>7.5</v>
      </c>
      <c r="D23" s="9">
        <f t="shared" si="0"/>
        <v>1.8720000000000001</v>
      </c>
      <c r="E23" s="10">
        <f t="shared" si="1"/>
        <v>7.4999999999999997E-2</v>
      </c>
      <c r="F23" s="9">
        <f t="shared" si="2"/>
        <v>-10.472883888888889</v>
      </c>
      <c r="G23" s="10">
        <f t="shared" si="3"/>
        <v>109.68129695014846</v>
      </c>
    </row>
    <row r="24" spans="1:7" x14ac:dyDescent="0.35">
      <c r="A24" s="8" t="s">
        <v>7</v>
      </c>
      <c r="B24" s="8">
        <v>102.8</v>
      </c>
      <c r="C24" s="8">
        <v>3.96</v>
      </c>
      <c r="D24" s="9">
        <f t="shared" si="0"/>
        <v>4.0708799999999998</v>
      </c>
      <c r="E24" s="10">
        <f t="shared" si="1"/>
        <v>3.9599999999999996E-2</v>
      </c>
      <c r="F24" s="9">
        <f t="shared" si="2"/>
        <v>-8.2740038888888883</v>
      </c>
      <c r="G24" s="10">
        <f t="shared" si="3"/>
        <v>68.459140353348445</v>
      </c>
    </row>
    <row r="25" spans="1:7" x14ac:dyDescent="0.35">
      <c r="A25" s="8" t="s">
        <v>12</v>
      </c>
      <c r="B25" s="8">
        <v>29.49</v>
      </c>
      <c r="C25" s="8">
        <v>9.16</v>
      </c>
      <c r="D25" s="9">
        <f t="shared" si="0"/>
        <v>2.7012839999999998</v>
      </c>
      <c r="E25" s="10">
        <f t="shared" si="1"/>
        <v>9.1600000000000001E-2</v>
      </c>
      <c r="F25" s="9">
        <f t="shared" si="2"/>
        <v>-9.6435998888888896</v>
      </c>
      <c r="G25" s="10">
        <f t="shared" si="3"/>
        <v>92.999018816977809</v>
      </c>
    </row>
    <row r="26" spans="1:7" x14ac:dyDescent="0.35">
      <c r="A26" s="8" t="s">
        <v>19</v>
      </c>
      <c r="B26" s="8">
        <v>129.4</v>
      </c>
      <c r="C26" s="8">
        <v>4.0999999999999996</v>
      </c>
      <c r="D26" s="9">
        <f t="shared" si="0"/>
        <v>5.3053999999999997</v>
      </c>
      <c r="E26" s="10">
        <f t="shared" si="1"/>
        <v>4.0999999999999995E-2</v>
      </c>
      <c r="F26" s="9">
        <f t="shared" si="2"/>
        <v>-7.0394838888888893</v>
      </c>
      <c r="G26" s="10">
        <f t="shared" si="3"/>
        <v>49.554333421926238</v>
      </c>
    </row>
    <row r="27" spans="1:7" x14ac:dyDescent="0.35">
      <c r="A27" s="8" t="s">
        <v>22</v>
      </c>
      <c r="B27" s="8">
        <v>61.95</v>
      </c>
      <c r="C27" s="8">
        <v>2.38</v>
      </c>
      <c r="D27" s="9">
        <f t="shared" si="0"/>
        <v>1.47441</v>
      </c>
      <c r="E27" s="10">
        <f t="shared" si="1"/>
        <v>2.3799999999999998E-2</v>
      </c>
      <c r="F27" s="9">
        <f t="shared" si="2"/>
        <v>-10.870473888888888</v>
      </c>
      <c r="G27" s="10">
        <f t="shared" si="3"/>
        <v>118.16720256901512</v>
      </c>
    </row>
    <row r="28" spans="1:7" x14ac:dyDescent="0.35">
      <c r="A28" s="8" t="s">
        <v>23</v>
      </c>
      <c r="B28" s="8">
        <v>28.56</v>
      </c>
      <c r="C28" s="8">
        <v>4.66</v>
      </c>
      <c r="D28" s="9">
        <f t="shared" si="0"/>
        <v>1.3308959999999999</v>
      </c>
      <c r="E28" s="10">
        <f t="shared" si="1"/>
        <v>4.6599999999999996E-2</v>
      </c>
      <c r="F28" s="9">
        <f t="shared" si="2"/>
        <v>-11.01398788888889</v>
      </c>
      <c r="G28" s="10">
        <f t="shared" si="3"/>
        <v>121.30792921659115</v>
      </c>
    </row>
    <row r="29" spans="1:7" x14ac:dyDescent="0.35">
      <c r="A29" s="8" t="s">
        <v>9</v>
      </c>
      <c r="B29" s="8">
        <v>79.37</v>
      </c>
      <c r="C29" s="8">
        <v>11.53</v>
      </c>
      <c r="D29" s="9">
        <f t="shared" si="0"/>
        <v>9.1513610000000014</v>
      </c>
      <c r="E29" s="10">
        <f t="shared" si="1"/>
        <v>0.11530000000000001</v>
      </c>
      <c r="F29" s="9">
        <f t="shared" si="2"/>
        <v>-3.1935228888888876</v>
      </c>
      <c r="G29" s="10">
        <f t="shared" si="3"/>
        <v>10.198588441857225</v>
      </c>
    </row>
    <row r="30" spans="1:7" x14ac:dyDescent="0.35">
      <c r="A30" s="8" t="s">
        <v>24</v>
      </c>
      <c r="B30" s="8">
        <v>11.66</v>
      </c>
      <c r="C30" s="8">
        <v>6.14</v>
      </c>
      <c r="D30" s="9">
        <f t="shared" si="0"/>
        <v>0.715924</v>
      </c>
      <c r="E30" s="10">
        <f t="shared" si="1"/>
        <v>6.1399999999999996E-2</v>
      </c>
      <c r="F30" s="9">
        <f t="shared" si="2"/>
        <v>-11.62895988888889</v>
      </c>
      <c r="G30" s="10">
        <f t="shared" si="3"/>
        <v>135.23270809738671</v>
      </c>
    </row>
    <row r="31" spans="1:7" x14ac:dyDescent="0.35">
      <c r="C31" s="5" t="s">
        <v>25</v>
      </c>
      <c r="D31" s="6">
        <f>SUM(D4:D30)</f>
        <v>333.31186500000001</v>
      </c>
    </row>
    <row r="32" spans="1:7" x14ac:dyDescent="0.35">
      <c r="C32" s="5" t="s">
        <v>26</v>
      </c>
      <c r="D32" s="7">
        <f>AVERAGE(D4:D30)</f>
        <v>12.344883888888889</v>
      </c>
    </row>
    <row r="33" spans="3:4" x14ac:dyDescent="0.35">
      <c r="C33" s="5" t="s">
        <v>27</v>
      </c>
      <c r="D33" s="7">
        <f>SUM(E4:E30)</f>
        <v>2.2076999999999996</v>
      </c>
    </row>
    <row r="34" spans="3:4" x14ac:dyDescent="0.35">
      <c r="C34" s="5" t="s">
        <v>0</v>
      </c>
      <c r="D34" s="7">
        <f>D33/27</f>
        <v>8.1766666666666654E-2</v>
      </c>
    </row>
    <row r="35" spans="3:4" x14ac:dyDescent="0.35">
      <c r="C35" s="5" t="s">
        <v>28</v>
      </c>
      <c r="D35" s="6">
        <f>SUM(G4:G30)</f>
        <v>2224.7313176854409</v>
      </c>
    </row>
    <row r="36" spans="3:4" x14ac:dyDescent="0.35">
      <c r="C36" s="5" t="s">
        <v>29</v>
      </c>
      <c r="D36" s="7">
        <f>D35/26</f>
        <v>85.566589141747727</v>
      </c>
    </row>
    <row r="37" spans="3:4" x14ac:dyDescent="0.35">
      <c r="C37" s="5" t="s">
        <v>30</v>
      </c>
      <c r="D37" s="7">
        <f>1-D34</f>
        <v>0.91823333333333335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2026-05-26T14:12:10Z</dcterms:created>
  <dcterms:modified xsi:type="dcterms:W3CDTF">2026-05-31T15:30:48Z</dcterms:modified>
</cp:coreProperties>
</file>